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ly/Desktop/"/>
    </mc:Choice>
  </mc:AlternateContent>
  <xr:revisionPtr revIDLastSave="0" documentId="13_ncr:1_{C91EEFBA-BC3A-0842-961D-77D9A558EECF}" xr6:coauthVersionLast="47" xr6:coauthVersionMax="47" xr10:uidLastSave="{00000000-0000-0000-0000-000000000000}"/>
  <bookViews>
    <workbookView xWindow="600" yWindow="1000" windowWidth="27700" windowHeight="16320" xr2:uid="{3DDF899F-852B-D04E-860F-9C709F092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4" i="1"/>
  <c r="L3" i="1"/>
  <c r="L5" i="1"/>
  <c r="L6" i="1"/>
  <c r="L8" i="1"/>
  <c r="L7" i="1"/>
  <c r="L10" i="1"/>
  <c r="L11" i="1"/>
  <c r="L12" i="1"/>
  <c r="L9" i="1"/>
  <c r="L14" i="1"/>
  <c r="L13" i="1"/>
  <c r="L16" i="1"/>
  <c r="L17" i="1"/>
  <c r="L18" i="1"/>
  <c r="L15" i="1"/>
  <c r="L19" i="1"/>
  <c r="L20" i="1"/>
  <c r="L21" i="1"/>
  <c r="L22" i="1"/>
  <c r="L23" i="1"/>
  <c r="L25" i="1"/>
  <c r="L26" i="1"/>
  <c r="L24" i="1"/>
  <c r="L27" i="1"/>
  <c r="L30" i="1"/>
  <c r="L29" i="1"/>
  <c r="L31" i="1"/>
  <c r="L32" i="1"/>
  <c r="L33" i="1"/>
  <c r="L34" i="1"/>
  <c r="L2" i="1"/>
</calcChain>
</file>

<file path=xl/sharedStrings.xml><?xml version="1.0" encoding="utf-8"?>
<sst xmlns="http://schemas.openxmlformats.org/spreadsheetml/2006/main" count="112" uniqueCount="80">
  <si>
    <t>Student</t>
  </si>
  <si>
    <t>ID</t>
  </si>
  <si>
    <t>SIS User ID</t>
  </si>
  <si>
    <t>SIS Login ID</t>
  </si>
  <si>
    <t>Section</t>
  </si>
  <si>
    <t>PS1 Due Sep 21. (400746)</t>
  </si>
  <si>
    <t>PS2 Due Oct 5 (402117)</t>
  </si>
  <si>
    <t>Midterm Exam (403602)</t>
  </si>
  <si>
    <t>PS3 Due Nov 6 (Thursday) (405886)</t>
  </si>
  <si>
    <t>PS4 Due Nov 20 (Thursday) (408450)</t>
  </si>
  <si>
    <t>Final Exam (410282)</t>
  </si>
  <si>
    <t>CHEN, Wanjia</t>
  </si>
  <si>
    <t>nchenan@connect.ust.hk</t>
  </si>
  <si>
    <t>L1</t>
  </si>
  <si>
    <t>CHONG, Cheuk Yiu</t>
  </si>
  <si>
    <t>cychongae@connect.ust.hk</t>
  </si>
  <si>
    <t>CHONG, Yuk Hei</t>
  </si>
  <si>
    <t>yhchongaa@connect.ust.hk</t>
  </si>
  <si>
    <t>DE JONG, Niek</t>
  </si>
  <si>
    <t>ndejong@connect.ust.hk</t>
  </si>
  <si>
    <t>GU, Xiang</t>
  </si>
  <si>
    <t>xguaj@connect.ust.hk</t>
  </si>
  <si>
    <t>HAO, Siyan</t>
  </si>
  <si>
    <t>shaoag@connect.ust.hk</t>
  </si>
  <si>
    <t>HE, Zhengxi</t>
  </si>
  <si>
    <t>zhebs@connect.ust.hk</t>
  </si>
  <si>
    <t>HIDAKA, Sho</t>
  </si>
  <si>
    <t>shidaka@connect.ust.hk</t>
  </si>
  <si>
    <t>HO, Lok Hin</t>
  </si>
  <si>
    <t>lhhoak@connect.ust.hk</t>
  </si>
  <si>
    <t>JUNAEDI, Kenzie Edmund</t>
  </si>
  <si>
    <t>kejunaedi@connect.ust.hk</t>
  </si>
  <si>
    <t>KUZMIN, Sergei</t>
  </si>
  <si>
    <t>skuzmin@connect.ust.hk</t>
  </si>
  <si>
    <t>LAI, Chun Hei</t>
  </si>
  <si>
    <t>chlaibc@connect.ust.hk</t>
  </si>
  <si>
    <t>LEE, Yat Kiu</t>
  </si>
  <si>
    <t>ykleeah@connect.ust.hk</t>
  </si>
  <si>
    <t>LEE, Youngjae</t>
  </si>
  <si>
    <t>yleebd@connect.ust.hk</t>
  </si>
  <si>
    <t>LI, Tsz Wai</t>
  </si>
  <si>
    <t>twliac@connect.ust.hk</t>
  </si>
  <si>
    <t>LI, Zijin</t>
  </si>
  <si>
    <t>zlikv@connect.ust.hk</t>
  </si>
  <si>
    <t>LIN, Hengda</t>
  </si>
  <si>
    <t>hlincc@connect.ust.hk</t>
  </si>
  <si>
    <t>LIU, Yanchen</t>
  </si>
  <si>
    <t>yliuqp@connect.ust.hk</t>
  </si>
  <si>
    <t>NG, King Hei Hugo</t>
  </si>
  <si>
    <t>khhng@connect.ust.hk</t>
  </si>
  <si>
    <t>RAFIQUE, Hafsa Shahid</t>
  </si>
  <si>
    <t>hsrafique@connect.ust.hk</t>
  </si>
  <si>
    <t>SHUM, Kwok Fung William</t>
  </si>
  <si>
    <t>kfwshum@connect.ust.hk</t>
  </si>
  <si>
    <t>SO, Long Yin</t>
  </si>
  <si>
    <t>lysoad@connect.ust.hk</t>
  </si>
  <si>
    <t>TAM, Tim Wing Jervis</t>
  </si>
  <si>
    <t>twjtamaa@connect.ust.hk</t>
  </si>
  <si>
    <t>TSANG, Tsz Hong</t>
  </si>
  <si>
    <t>thtsangaj@connect.ust.hk</t>
  </si>
  <si>
    <t>WANG, Yutong</t>
  </si>
  <si>
    <t>ywangze@connect.ust.hk</t>
  </si>
  <si>
    <t>WONG, Arthur Yat Ming</t>
  </si>
  <si>
    <t>aymwong@connect.ust.hk</t>
  </si>
  <si>
    <t>WONG, Chit Yu</t>
  </si>
  <si>
    <t>cywongea@connect.ust.hk</t>
  </si>
  <si>
    <t>WONG, Chun Man</t>
  </si>
  <si>
    <t>cmwongbg@connect.ust.hk</t>
  </si>
  <si>
    <t>WONG, Siu Pang</t>
  </si>
  <si>
    <t>spwongag@connect.ust.hk</t>
  </si>
  <si>
    <t>WONG, Sum King</t>
  </si>
  <si>
    <t>skwongba@connect.ust.hk</t>
  </si>
  <si>
    <t>WONG, Sunny Tsz Lun</t>
  </si>
  <si>
    <t>stlwong@connect.ust.hk</t>
  </si>
  <si>
    <t>WU, Pak Kwan</t>
  </si>
  <si>
    <t>pkwuaa@connect.ust.hk</t>
  </si>
  <si>
    <t>ZUO, Yunqi Joshua</t>
  </si>
  <si>
    <t>yjzuo@connect.ust.hk</t>
  </si>
  <si>
    <t>Final score</t>
    <phoneticPr fontId="1" type="noConversion"/>
  </si>
  <si>
    <t>Full score: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</si>
</sst>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A428-223B-0845-A7D6-8D9D3654B8B8}">
  <dimension ref="A1:L37"/>
  <sheetViews>
    <sheetView tabSelected="1" workbookViewId="0">
      <selection activeCell="L2" sqref="L2"/>
    </sheetView>
  </sheetViews>
  <sheetFormatPr baseColWidth="10" defaultRowHeight="16"/>
  <cols>
    <col min="1" max="1" width="21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78</v>
      </c>
    </row>
    <row r="2" spans="1:12">
      <c r="A2" t="s">
        <v>70</v>
      </c>
      <c r="B2">
        <v>167152</v>
      </c>
      <c r="C2">
        <v>21174490</v>
      </c>
      <c r="D2" t="s">
        <v>71</v>
      </c>
      <c r="E2" t="s">
        <v>13</v>
      </c>
      <c r="F2">
        <v>4.7</v>
      </c>
      <c r="G2">
        <v>4.5999999999999996</v>
      </c>
      <c r="H2">
        <v>100</v>
      </c>
      <c r="I2">
        <v>4.6500000000000004</v>
      </c>
      <c r="J2">
        <v>4.95</v>
      </c>
      <c r="K2">
        <v>97</v>
      </c>
      <c r="L2">
        <f>F2+G2+I2+J2+MAX(0.2*H2+0.6*K2,0.4*H2+0.4*K2)</f>
        <v>97.700000000000017</v>
      </c>
    </row>
    <row r="3" spans="1:12">
      <c r="A3" t="s">
        <v>76</v>
      </c>
      <c r="B3">
        <v>166896</v>
      </c>
      <c r="C3">
        <v>21166493</v>
      </c>
      <c r="D3" t="s">
        <v>77</v>
      </c>
      <c r="E3" t="s">
        <v>13</v>
      </c>
      <c r="F3">
        <v>4.5</v>
      </c>
      <c r="G3">
        <v>4.5</v>
      </c>
      <c r="H3">
        <v>88</v>
      </c>
      <c r="I3">
        <v>4.5</v>
      </c>
      <c r="J3">
        <v>4.95</v>
      </c>
      <c r="K3">
        <v>99</v>
      </c>
      <c r="L3">
        <f>F3+G3+I3+J3+MAX(0.2*H3+0.6*K3,0.4*H3+0.4*K3)</f>
        <v>95.45</v>
      </c>
    </row>
    <row r="4" spans="1:12">
      <c r="A4" t="s">
        <v>52</v>
      </c>
      <c r="B4">
        <v>166940</v>
      </c>
      <c r="C4">
        <v>21172193</v>
      </c>
      <c r="D4" t="s">
        <v>53</v>
      </c>
      <c r="E4" t="s">
        <v>13</v>
      </c>
      <c r="F4">
        <v>4.3</v>
      </c>
      <c r="G4">
        <v>4.5999999999999996</v>
      </c>
      <c r="H4">
        <v>96</v>
      </c>
      <c r="I4">
        <v>4.6500000000000004</v>
      </c>
      <c r="J4">
        <v>4.9000000000000004</v>
      </c>
      <c r="K4">
        <v>96</v>
      </c>
      <c r="L4">
        <f>F4+G4+I4+J4+MAX(0.2*H4+0.6*K4,0.4*H4+0.4*K4)</f>
        <v>95.250000000000014</v>
      </c>
    </row>
    <row r="5" spans="1:12">
      <c r="A5" t="s">
        <v>64</v>
      </c>
      <c r="B5">
        <v>167479</v>
      </c>
      <c r="C5">
        <v>21173800</v>
      </c>
      <c r="D5" t="s">
        <v>65</v>
      </c>
      <c r="E5" t="s">
        <v>13</v>
      </c>
      <c r="F5">
        <v>4.5999999999999996</v>
      </c>
      <c r="G5">
        <v>4.5999999999999996</v>
      </c>
      <c r="H5">
        <v>96</v>
      </c>
      <c r="I5">
        <v>4.75</v>
      </c>
      <c r="J5">
        <v>4.9000000000000004</v>
      </c>
      <c r="K5">
        <v>89</v>
      </c>
      <c r="L5">
        <f>F5+G5+I5+J5+MAX(0.2*H5+0.6*K5,0.4*H5+0.4*K5)</f>
        <v>92.85</v>
      </c>
    </row>
    <row r="6" spans="1:12">
      <c r="A6" t="s">
        <v>48</v>
      </c>
      <c r="B6">
        <v>167324</v>
      </c>
      <c r="C6">
        <v>21164433</v>
      </c>
      <c r="D6" t="s">
        <v>49</v>
      </c>
      <c r="E6" t="s">
        <v>13</v>
      </c>
      <c r="F6">
        <v>4.9000000000000004</v>
      </c>
      <c r="G6">
        <v>4.9000000000000004</v>
      </c>
      <c r="H6">
        <v>80</v>
      </c>
      <c r="I6">
        <v>4.6500000000000004</v>
      </c>
      <c r="J6">
        <v>4.9000000000000004</v>
      </c>
      <c r="K6">
        <v>95</v>
      </c>
      <c r="L6">
        <f>F6+G6+I6+J6+MAX(0.2*H6+0.6*K6,0.4*H6+0.4*K6)</f>
        <v>92.35</v>
      </c>
    </row>
    <row r="7" spans="1:12">
      <c r="A7" t="s">
        <v>72</v>
      </c>
      <c r="B7">
        <v>168060</v>
      </c>
      <c r="C7">
        <v>21174311</v>
      </c>
      <c r="D7" t="s">
        <v>73</v>
      </c>
      <c r="E7" t="s">
        <v>13</v>
      </c>
      <c r="F7">
        <v>4.5</v>
      </c>
      <c r="G7">
        <v>4.9000000000000004</v>
      </c>
      <c r="H7">
        <v>64</v>
      </c>
      <c r="I7">
        <v>4.8499999999999996</v>
      </c>
      <c r="J7">
        <v>4.9000000000000004</v>
      </c>
      <c r="K7">
        <v>97</v>
      </c>
      <c r="L7">
        <f>F7+G7+I7+J7+MAX(0.2*H7+0.6*K7,0.4*H7+0.4*K7)</f>
        <v>90.15</v>
      </c>
    </row>
    <row r="8" spans="1:12">
      <c r="A8" t="s">
        <v>38</v>
      </c>
      <c r="B8">
        <v>107801</v>
      </c>
      <c r="C8">
        <v>20815217</v>
      </c>
      <c r="D8" t="s">
        <v>39</v>
      </c>
      <c r="E8" t="s">
        <v>13</v>
      </c>
      <c r="F8">
        <v>4.7</v>
      </c>
      <c r="G8">
        <v>4.9000000000000004</v>
      </c>
      <c r="H8">
        <v>72</v>
      </c>
      <c r="I8">
        <v>4.75</v>
      </c>
      <c r="J8">
        <v>4.95</v>
      </c>
      <c r="K8">
        <v>93</v>
      </c>
      <c r="L8">
        <f>F8+G8+I8+J8+MAX(0.2*H8+0.6*K8,0.4*H8+0.4*K8)</f>
        <v>89.5</v>
      </c>
    </row>
    <row r="9" spans="1:12">
      <c r="A9" t="s">
        <v>58</v>
      </c>
      <c r="B9">
        <v>167698</v>
      </c>
      <c r="C9">
        <v>21167502</v>
      </c>
      <c r="D9" t="s">
        <v>59</v>
      </c>
      <c r="E9" t="s">
        <v>13</v>
      </c>
      <c r="F9">
        <v>4.4000000000000004</v>
      </c>
      <c r="G9">
        <v>4.5999999999999996</v>
      </c>
      <c r="H9">
        <v>83</v>
      </c>
      <c r="I9">
        <v>4.55</v>
      </c>
      <c r="J9">
        <v>4.9000000000000004</v>
      </c>
      <c r="K9">
        <v>88</v>
      </c>
      <c r="L9">
        <f>F9+G9+I9+J9+MAX(0.2*H9+0.6*K9,0.4*H9+0.4*K9)</f>
        <v>87.850000000000009</v>
      </c>
    </row>
    <row r="10" spans="1:12">
      <c r="A10" t="s">
        <v>14</v>
      </c>
      <c r="B10">
        <v>168402</v>
      </c>
      <c r="C10">
        <v>21178458</v>
      </c>
      <c r="D10" t="s">
        <v>15</v>
      </c>
      <c r="E10" t="s">
        <v>13</v>
      </c>
      <c r="F10">
        <v>4.9000000000000004</v>
      </c>
      <c r="G10">
        <v>4.5999999999999996</v>
      </c>
      <c r="H10">
        <v>64</v>
      </c>
      <c r="I10">
        <v>4.5999999999999996</v>
      </c>
      <c r="J10">
        <v>4.9000000000000004</v>
      </c>
      <c r="K10">
        <v>92</v>
      </c>
      <c r="L10">
        <f>F10+G10+I10+J10+MAX(0.2*H10+0.6*K10,0.4*H10+0.4*K10)</f>
        <v>87</v>
      </c>
    </row>
    <row r="11" spans="1:12">
      <c r="A11" t="s">
        <v>34</v>
      </c>
      <c r="B11">
        <v>167782</v>
      </c>
      <c r="C11">
        <v>21168453</v>
      </c>
      <c r="D11" t="s">
        <v>35</v>
      </c>
      <c r="E11" t="s">
        <v>13</v>
      </c>
      <c r="F11">
        <v>4.8</v>
      </c>
      <c r="G11">
        <v>4.9000000000000004</v>
      </c>
      <c r="H11">
        <v>92</v>
      </c>
      <c r="I11">
        <v>4.75</v>
      </c>
      <c r="J11">
        <v>4.9000000000000004</v>
      </c>
      <c r="K11">
        <v>76</v>
      </c>
      <c r="L11">
        <f>F11+G11+I11+J11+MAX(0.2*H11+0.6*K11,0.4*H11+0.4*K11)</f>
        <v>86.550000000000011</v>
      </c>
    </row>
    <row r="12" spans="1:12">
      <c r="A12" t="s">
        <v>68</v>
      </c>
      <c r="B12">
        <v>167763</v>
      </c>
      <c r="C12">
        <v>21168295</v>
      </c>
      <c r="D12" t="s">
        <v>69</v>
      </c>
      <c r="E12" t="s">
        <v>13</v>
      </c>
      <c r="F12">
        <v>5</v>
      </c>
      <c r="G12">
        <v>4.9000000000000004</v>
      </c>
      <c r="H12">
        <v>83</v>
      </c>
      <c r="I12">
        <v>4.95</v>
      </c>
      <c r="J12">
        <v>4.9000000000000004</v>
      </c>
      <c r="K12">
        <v>80</v>
      </c>
      <c r="L12">
        <f>F12+G12+I12+J12+MAX(0.2*H12+0.6*K12,0.4*H12+0.4*K12)</f>
        <v>84.95</v>
      </c>
    </row>
    <row r="13" spans="1:12">
      <c r="A13" t="s">
        <v>54</v>
      </c>
      <c r="B13">
        <v>167828</v>
      </c>
      <c r="C13">
        <v>21174282</v>
      </c>
      <c r="D13" t="s">
        <v>55</v>
      </c>
      <c r="E13" t="s">
        <v>13</v>
      </c>
      <c r="F13">
        <v>4.7</v>
      </c>
      <c r="G13">
        <v>4.5999999999999996</v>
      </c>
      <c r="H13">
        <v>96</v>
      </c>
      <c r="I13">
        <v>4.25</v>
      </c>
      <c r="J13">
        <v>4.9000000000000004</v>
      </c>
      <c r="K13">
        <v>69</v>
      </c>
      <c r="L13">
        <f>F13+G13+I13+J13+MAX(0.2*H13+0.6*K13,0.4*H13+0.4*K13)</f>
        <v>84.45</v>
      </c>
    </row>
    <row r="14" spans="1:12">
      <c r="A14" t="s">
        <v>62</v>
      </c>
      <c r="B14">
        <v>167184</v>
      </c>
      <c r="C14">
        <v>21176694</v>
      </c>
      <c r="D14" t="s">
        <v>63</v>
      </c>
      <c r="E14" t="s">
        <v>13</v>
      </c>
      <c r="F14">
        <v>4.4000000000000004</v>
      </c>
      <c r="G14">
        <v>4.5999999999999996</v>
      </c>
      <c r="H14">
        <v>70</v>
      </c>
      <c r="I14">
        <v>4.8</v>
      </c>
      <c r="J14">
        <v>4.9000000000000004</v>
      </c>
      <c r="K14">
        <v>85</v>
      </c>
      <c r="L14">
        <f>F14+G14+I14+J14+MAX(0.2*H14+0.6*K14,0.4*H14+0.4*K14)</f>
        <v>83.7</v>
      </c>
    </row>
    <row r="15" spans="1:12">
      <c r="A15" t="s">
        <v>36</v>
      </c>
      <c r="B15">
        <v>167333</v>
      </c>
      <c r="C15">
        <v>21175183</v>
      </c>
      <c r="D15" t="s">
        <v>37</v>
      </c>
      <c r="E15" t="s">
        <v>13</v>
      </c>
      <c r="F15">
        <v>4.7</v>
      </c>
      <c r="G15">
        <v>4.5999999999999996</v>
      </c>
      <c r="H15">
        <v>63</v>
      </c>
      <c r="I15">
        <v>4.55</v>
      </c>
      <c r="J15">
        <v>4.95</v>
      </c>
      <c r="K15">
        <v>83</v>
      </c>
      <c r="L15">
        <f>F15+G15+I15+J15+MAX(0.2*H15+0.6*K15,0.4*H15+0.4*K15)</f>
        <v>81.2</v>
      </c>
    </row>
    <row r="16" spans="1:12">
      <c r="A16" t="s">
        <v>28</v>
      </c>
      <c r="B16">
        <v>167928</v>
      </c>
      <c r="C16">
        <v>21173238</v>
      </c>
      <c r="D16" t="s">
        <v>29</v>
      </c>
      <c r="E16" t="s">
        <v>13</v>
      </c>
      <c r="F16">
        <v>4</v>
      </c>
      <c r="G16">
        <v>4.5999999999999996</v>
      </c>
      <c r="H16">
        <v>76</v>
      </c>
      <c r="I16">
        <v>4.3499999999999996</v>
      </c>
      <c r="J16">
        <v>4.9000000000000004</v>
      </c>
      <c r="K16">
        <v>79</v>
      </c>
      <c r="L16">
        <f>F16+G16+I16+J16+MAX(0.2*H16+0.6*K16,0.4*H16+0.4*K16)</f>
        <v>80.45</v>
      </c>
    </row>
    <row r="17" spans="1:12">
      <c r="A17" t="s">
        <v>30</v>
      </c>
      <c r="B17">
        <v>161485</v>
      </c>
      <c r="C17">
        <v>21092458</v>
      </c>
      <c r="D17" t="s">
        <v>31</v>
      </c>
      <c r="E17" t="s">
        <v>13</v>
      </c>
      <c r="F17">
        <v>4.8</v>
      </c>
      <c r="G17">
        <v>4.9000000000000004</v>
      </c>
      <c r="H17">
        <v>74</v>
      </c>
      <c r="I17">
        <v>4.5</v>
      </c>
      <c r="J17">
        <v>4.9000000000000004</v>
      </c>
      <c r="K17">
        <v>77</v>
      </c>
      <c r="L17">
        <f>F17+G17+I17+J17+MAX(0.2*H17+0.6*K17,0.4*H17+0.4*K17)</f>
        <v>80.099999999999994</v>
      </c>
    </row>
    <row r="18" spans="1:12">
      <c r="A18" t="s">
        <v>56</v>
      </c>
      <c r="B18">
        <v>167080</v>
      </c>
      <c r="C18">
        <v>21168532</v>
      </c>
      <c r="D18" t="s">
        <v>57</v>
      </c>
      <c r="E18" t="s">
        <v>13</v>
      </c>
      <c r="F18">
        <v>4.7</v>
      </c>
      <c r="G18">
        <v>4.5999999999999996</v>
      </c>
      <c r="H18">
        <v>43</v>
      </c>
      <c r="I18">
        <v>4.95</v>
      </c>
      <c r="J18">
        <v>4.75</v>
      </c>
      <c r="K18">
        <v>84</v>
      </c>
      <c r="L18">
        <f>F18+G18+I18+J18+MAX(0.2*H18+0.6*K18,0.4*H18+0.4*K18)</f>
        <v>78</v>
      </c>
    </row>
    <row r="19" spans="1:12">
      <c r="A19" t="s">
        <v>46</v>
      </c>
      <c r="B19">
        <v>178136</v>
      </c>
      <c r="C19">
        <v>21213507</v>
      </c>
      <c r="D19" t="s">
        <v>47</v>
      </c>
      <c r="E19" t="s">
        <v>13</v>
      </c>
      <c r="F19">
        <v>4.2</v>
      </c>
      <c r="G19">
        <v>4.5999999999999996</v>
      </c>
      <c r="H19">
        <v>41</v>
      </c>
      <c r="I19">
        <v>4.4000000000000004</v>
      </c>
      <c r="J19">
        <v>4.9000000000000004</v>
      </c>
      <c r="K19">
        <v>82</v>
      </c>
      <c r="L19">
        <f>F19+G19+I19+J19+MAX(0.2*H19+0.6*K19,0.4*H19+0.4*K19)</f>
        <v>75.5</v>
      </c>
    </row>
    <row r="20" spans="1:12">
      <c r="A20" t="s">
        <v>44</v>
      </c>
      <c r="B20">
        <v>186495</v>
      </c>
      <c r="C20">
        <v>21198379</v>
      </c>
      <c r="D20" t="s">
        <v>45</v>
      </c>
      <c r="E20" t="s">
        <v>13</v>
      </c>
      <c r="F20">
        <v>3.3</v>
      </c>
      <c r="G20">
        <v>4.5999999999999996</v>
      </c>
      <c r="H20">
        <v>68</v>
      </c>
      <c r="I20">
        <v>4.05</v>
      </c>
      <c r="J20">
        <v>3.95</v>
      </c>
      <c r="K20">
        <v>76</v>
      </c>
      <c r="L20">
        <f>F20+G20+I20+J20+MAX(0.2*H20+0.6*K20,0.4*H20+0.4*K20)</f>
        <v>75.099999999999994</v>
      </c>
    </row>
    <row r="21" spans="1:12">
      <c r="A21" t="s">
        <v>20</v>
      </c>
      <c r="B21">
        <v>164510</v>
      </c>
      <c r="C21">
        <v>21148855</v>
      </c>
      <c r="D21" t="s">
        <v>21</v>
      </c>
      <c r="E21" t="s">
        <v>13</v>
      </c>
      <c r="F21">
        <v>4.8</v>
      </c>
      <c r="G21">
        <v>3.9</v>
      </c>
      <c r="H21">
        <v>46</v>
      </c>
      <c r="I21">
        <v>4.3499999999999996</v>
      </c>
      <c r="J21">
        <v>4.5999999999999996</v>
      </c>
      <c r="K21">
        <v>73</v>
      </c>
      <c r="L21">
        <f>F21+G21+I21+J21+MAX(0.2*H21+0.6*K21,0.4*H21+0.4*K21)</f>
        <v>70.650000000000006</v>
      </c>
    </row>
    <row r="22" spans="1:12">
      <c r="A22" t="s">
        <v>26</v>
      </c>
      <c r="B22">
        <v>180111</v>
      </c>
      <c r="C22">
        <v>21290517</v>
      </c>
      <c r="D22" t="s">
        <v>27</v>
      </c>
      <c r="E22" t="s">
        <v>13</v>
      </c>
      <c r="F22">
        <v>4.5</v>
      </c>
      <c r="G22">
        <v>4.5</v>
      </c>
      <c r="H22">
        <v>57</v>
      </c>
      <c r="I22">
        <v>4.45</v>
      </c>
      <c r="J22">
        <v>4.9000000000000004</v>
      </c>
      <c r="K22">
        <v>68</v>
      </c>
      <c r="L22">
        <f>F22+G22+I22+J22+MAX(0.2*H22+0.6*K22,0.4*H22+0.4*K22)</f>
        <v>70.55</v>
      </c>
    </row>
    <row r="23" spans="1:12">
      <c r="A23" t="s">
        <v>40</v>
      </c>
      <c r="B23">
        <v>168431</v>
      </c>
      <c r="C23">
        <v>21177583</v>
      </c>
      <c r="D23" t="s">
        <v>41</v>
      </c>
      <c r="E23" t="s">
        <v>13</v>
      </c>
      <c r="F23">
        <v>4.5999999999999996</v>
      </c>
      <c r="G23">
        <v>4.5999999999999996</v>
      </c>
      <c r="H23">
        <v>45</v>
      </c>
      <c r="I23">
        <v>4.9000000000000004</v>
      </c>
      <c r="J23">
        <v>4.5999999999999996</v>
      </c>
      <c r="K23">
        <v>70</v>
      </c>
      <c r="L23">
        <f>F23+G23+I23+J23+MAX(0.2*H23+0.6*K23,0.4*H23+0.4*K23)</f>
        <v>69.7</v>
      </c>
    </row>
    <row r="24" spans="1:12">
      <c r="A24" t="s">
        <v>74</v>
      </c>
      <c r="B24">
        <v>168048</v>
      </c>
      <c r="C24">
        <v>21167033</v>
      </c>
      <c r="D24" t="s">
        <v>75</v>
      </c>
      <c r="E24" t="s">
        <v>13</v>
      </c>
      <c r="F24">
        <v>4.5999999999999996</v>
      </c>
      <c r="G24">
        <v>4.5999999999999996</v>
      </c>
      <c r="H24">
        <v>50</v>
      </c>
      <c r="I24">
        <v>4.3</v>
      </c>
      <c r="J24">
        <v>4.8</v>
      </c>
      <c r="K24">
        <v>66</v>
      </c>
      <c r="L24">
        <f>F24+G24+I24+J24+MAX(0.2*H24+0.6*K24,0.4*H24+0.4*K24)</f>
        <v>67.900000000000006</v>
      </c>
    </row>
    <row r="25" spans="1:12">
      <c r="A25" t="s">
        <v>16</v>
      </c>
      <c r="B25">
        <v>167606</v>
      </c>
      <c r="C25">
        <v>21171527</v>
      </c>
      <c r="D25" t="s">
        <v>17</v>
      </c>
      <c r="E25" t="s">
        <v>13</v>
      </c>
      <c r="F25">
        <v>4.8</v>
      </c>
      <c r="G25">
        <v>4.9000000000000004</v>
      </c>
      <c r="H25">
        <v>41</v>
      </c>
      <c r="I25">
        <v>4.7</v>
      </c>
      <c r="J25">
        <v>4.9000000000000004</v>
      </c>
      <c r="K25">
        <v>66</v>
      </c>
      <c r="L25">
        <f>F25+G25+I25+J25+MAX(0.2*H25+0.6*K25,0.4*H25+0.4*K25)</f>
        <v>67.099999999999994</v>
      </c>
    </row>
    <row r="26" spans="1:12">
      <c r="A26" t="s">
        <v>50</v>
      </c>
      <c r="B26">
        <v>141701</v>
      </c>
      <c r="C26">
        <v>21021526</v>
      </c>
      <c r="D26" t="s">
        <v>51</v>
      </c>
      <c r="E26" t="s">
        <v>13</v>
      </c>
      <c r="F26">
        <v>4.8</v>
      </c>
      <c r="G26">
        <v>4.7</v>
      </c>
      <c r="H26">
        <v>46</v>
      </c>
      <c r="I26">
        <v>4.95</v>
      </c>
      <c r="J26">
        <v>4.8</v>
      </c>
      <c r="K26">
        <v>64</v>
      </c>
      <c r="L26">
        <f>F26+G26+I26+J26+MAX(0.2*H26+0.6*K26,0.4*H26+0.4*K26)</f>
        <v>66.849999999999994</v>
      </c>
    </row>
    <row r="27" spans="1:12">
      <c r="A27" t="s">
        <v>24</v>
      </c>
      <c r="B27">
        <v>162357</v>
      </c>
      <c r="C27">
        <v>21152363</v>
      </c>
      <c r="D27" t="s">
        <v>25</v>
      </c>
      <c r="E27" t="s">
        <v>13</v>
      </c>
      <c r="F27">
        <v>4.7</v>
      </c>
      <c r="G27">
        <v>4.5</v>
      </c>
      <c r="H27">
        <v>54</v>
      </c>
      <c r="I27">
        <v>4.5</v>
      </c>
      <c r="J27">
        <v>4.8</v>
      </c>
      <c r="K27">
        <v>60</v>
      </c>
      <c r="L27">
        <f>F27+G27+I27+J27+MAX(0.2*H27+0.6*K27,0.4*H27+0.4*K27)</f>
        <v>65.3</v>
      </c>
    </row>
    <row r="28" spans="1:12">
      <c r="A28" t="s">
        <v>60</v>
      </c>
      <c r="B28">
        <v>187054</v>
      </c>
      <c r="C28">
        <v>21256145</v>
      </c>
      <c r="D28" t="s">
        <v>61</v>
      </c>
      <c r="E28" t="s">
        <v>13</v>
      </c>
      <c r="F28">
        <v>4.4000000000000004</v>
      </c>
      <c r="G28">
        <v>3.9</v>
      </c>
      <c r="H28">
        <v>40</v>
      </c>
      <c r="I28">
        <v>4.5</v>
      </c>
      <c r="J28">
        <v>4.5999999999999996</v>
      </c>
      <c r="K28">
        <v>66</v>
      </c>
      <c r="L28">
        <f>F28+G28+I28+J28+MAX(0.2*H28+0.6*K28,0.4*H28+0.4*K28)</f>
        <v>65</v>
      </c>
    </row>
    <row r="29" spans="1:12">
      <c r="A29" t="s">
        <v>18</v>
      </c>
      <c r="B29">
        <v>180727</v>
      </c>
      <c r="C29">
        <v>21290787</v>
      </c>
      <c r="D29" t="s">
        <v>19</v>
      </c>
      <c r="E29" t="s">
        <v>13</v>
      </c>
      <c r="F29">
        <v>4.5</v>
      </c>
      <c r="G29">
        <v>3.7</v>
      </c>
      <c r="H29">
        <v>27</v>
      </c>
      <c r="I29">
        <v>4.2</v>
      </c>
      <c r="J29">
        <v>4.3499999999999996</v>
      </c>
      <c r="K29">
        <v>52</v>
      </c>
      <c r="L29">
        <f>F29+G29+I29+J29+MAX(0.2*H29+0.6*K29,0.4*H29+0.4*K29)</f>
        <v>53.35</v>
      </c>
    </row>
    <row r="30" spans="1:12">
      <c r="A30" t="s">
        <v>42</v>
      </c>
      <c r="B30">
        <v>177159</v>
      </c>
      <c r="C30">
        <v>21254329</v>
      </c>
      <c r="D30" t="s">
        <v>43</v>
      </c>
      <c r="E30" t="s">
        <v>13</v>
      </c>
      <c r="F30">
        <v>0</v>
      </c>
      <c r="G30">
        <v>0</v>
      </c>
      <c r="H30">
        <v>13</v>
      </c>
      <c r="I30">
        <v>1.9</v>
      </c>
      <c r="J30">
        <v>4.9000000000000004</v>
      </c>
      <c r="K30">
        <v>69</v>
      </c>
      <c r="L30">
        <f>F30+G30+I30+J30+MAX(0.2*H30+0.6*K30,0.4*H30+0.4*K30)</f>
        <v>50.8</v>
      </c>
    </row>
    <row r="31" spans="1:12">
      <c r="A31" t="s">
        <v>11</v>
      </c>
      <c r="B31">
        <v>140150</v>
      </c>
      <c r="C31">
        <v>21009956</v>
      </c>
      <c r="D31" t="s">
        <v>12</v>
      </c>
      <c r="E31" t="s">
        <v>13</v>
      </c>
      <c r="F31">
        <v>4.5</v>
      </c>
      <c r="G31">
        <v>3.1</v>
      </c>
      <c r="H31">
        <v>25</v>
      </c>
      <c r="I31">
        <v>4.05</v>
      </c>
      <c r="J31">
        <v>4.9000000000000004</v>
      </c>
      <c r="K31">
        <v>36</v>
      </c>
      <c r="L31">
        <f>F31+G31+I31+J31+MAX(0.2*H31+0.6*K31,0.4*H31+0.4*K31)</f>
        <v>43.149999999999991</v>
      </c>
    </row>
    <row r="32" spans="1:12">
      <c r="A32" t="s">
        <v>32</v>
      </c>
      <c r="B32">
        <v>182048</v>
      </c>
      <c r="C32">
        <v>21249477</v>
      </c>
      <c r="D32" t="s">
        <v>33</v>
      </c>
      <c r="E32" t="s">
        <v>13</v>
      </c>
      <c r="F32">
        <v>0</v>
      </c>
      <c r="G32">
        <v>0</v>
      </c>
      <c r="H32">
        <v>26</v>
      </c>
      <c r="I32">
        <v>4.4000000000000004</v>
      </c>
      <c r="J32">
        <v>3.8</v>
      </c>
      <c r="K32">
        <v>38</v>
      </c>
      <c r="L32">
        <f>F32+G32+I32+J32+MAX(0.2*H32+0.6*K32,0.4*H32+0.4*K32)</f>
        <v>36.200000000000003</v>
      </c>
    </row>
    <row r="33" spans="1:12">
      <c r="A33" t="s">
        <v>22</v>
      </c>
      <c r="B33">
        <v>180463</v>
      </c>
      <c r="C33">
        <v>21290701</v>
      </c>
      <c r="D33" t="s">
        <v>23</v>
      </c>
      <c r="E33" t="s">
        <v>13</v>
      </c>
      <c r="F33">
        <v>0</v>
      </c>
      <c r="G33">
        <v>3.2</v>
      </c>
      <c r="H33">
        <v>15</v>
      </c>
      <c r="I33">
        <v>3.6</v>
      </c>
      <c r="J33">
        <v>3.95</v>
      </c>
      <c r="L33">
        <f>F33+G33+I33+J33+MAX(0.2*H33+0.6*K33,0.4*H33+0.4*K33)</f>
        <v>16.75</v>
      </c>
    </row>
    <row r="34" spans="1:12">
      <c r="A34" t="s">
        <v>66</v>
      </c>
      <c r="B34">
        <v>146413</v>
      </c>
      <c r="C34">
        <v>21057678</v>
      </c>
      <c r="D34" t="s">
        <v>67</v>
      </c>
      <c r="E34" t="s">
        <v>13</v>
      </c>
      <c r="F34">
        <v>4.0999999999999996</v>
      </c>
      <c r="G34">
        <v>4.7</v>
      </c>
      <c r="H34">
        <v>18</v>
      </c>
      <c r="I34">
        <v>0</v>
      </c>
      <c r="J34">
        <v>0</v>
      </c>
      <c r="L34">
        <f>F34+G34+I34+J34+MAX(0.2*H34+0.6*K34,0.4*H34+0.4*K34)</f>
        <v>16</v>
      </c>
    </row>
    <row r="37" spans="1:12">
      <c r="E37" t="s">
        <v>79</v>
      </c>
      <c r="F37">
        <v>5</v>
      </c>
      <c r="G37">
        <v>5</v>
      </c>
      <c r="H37">
        <v>100</v>
      </c>
      <c r="I37">
        <v>5</v>
      </c>
      <c r="J37">
        <v>5</v>
      </c>
      <c r="K37">
        <v>100</v>
      </c>
    </row>
  </sheetData>
  <sortState xmlns:xlrd2="http://schemas.microsoft.com/office/spreadsheetml/2017/richdata2" ref="A2:L37">
    <sortCondition descending="1" ref="L1:L3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zhy2002@connect.hku.hk</dc:creator>
  <cp:lastModifiedBy>zhy2002@connect.hku.hk</cp:lastModifiedBy>
  <dcterms:created xsi:type="dcterms:W3CDTF">2025-12-10T04:07:30Z</dcterms:created>
  <dcterms:modified xsi:type="dcterms:W3CDTF">2025-12-13T05:02:12Z</dcterms:modified>
</cp:coreProperties>
</file>